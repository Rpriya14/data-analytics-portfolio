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13_ncr:1_{A633B698-7611-40D2-9657-416A64F9180B}" xr6:coauthVersionLast="47" xr6:coauthVersionMax="47" xr10:uidLastSave="{00000000-0000-0000-0000-000000000000}"/>
  <bookViews>
    <workbookView xWindow="11424" yWindow="0" windowWidth="11712" windowHeight="12336" tabRatio="769" activeTab="3" xr2:uid="{00000000-000D-0000-FFFF-FFFF00000000}"/>
  </bookViews>
  <sheets>
    <sheet name="VLOOKUP" sheetId="1" r:id="rId1"/>
    <sheet name="HLOOKUP" sheetId="2" r:id="rId2"/>
    <sheet name="INDEX+MATCH" sheetId="3" r:id="rId3"/>
    <sheet name="XLOOKUP" sheetId="4" r:id="rId4"/>
    <sheet name="TWO WAY LOOKUP" sheetId="5" r:id="rId5"/>
    <sheet name="MULTIPLE CRITERIA LOOKUP" sheetId="6" r:id="rId6"/>
    <sheet name="index+match(multiplecritlookup)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F2" i="7"/>
  <c r="E2" i="7"/>
  <c r="D2" i="7"/>
  <c r="G2" i="5" a="1"/>
  <c r="G2" i="5" s="1"/>
  <c r="F2" i="5" a="1"/>
  <c r="F2" i="5" s="1"/>
  <c r="D2" i="6" a="1"/>
  <c r="D2" i="6" s="1"/>
  <c r="E2" i="5"/>
  <c r="F2" i="3"/>
  <c r="E2" i="3"/>
  <c r="D2" i="3"/>
  <c r="B5" i="2"/>
  <c r="F2" i="1"/>
</calcChain>
</file>

<file path=xl/sharedStrings.xml><?xml version="1.0" encoding="utf-8"?>
<sst xmlns="http://schemas.openxmlformats.org/spreadsheetml/2006/main" count="78" uniqueCount="45">
  <si>
    <t xml:space="preserve"> </t>
  </si>
  <si>
    <t>Salary</t>
  </si>
  <si>
    <t>Ravi</t>
  </si>
  <si>
    <t>Meena</t>
  </si>
  <si>
    <t>John</t>
  </si>
  <si>
    <t>Sara</t>
  </si>
  <si>
    <t>Arjun</t>
  </si>
  <si>
    <t>Search ID</t>
  </si>
  <si>
    <t>VLOOKUP ONLY searches LEFT → RIGHT,not right to left.</t>
  </si>
  <si>
    <t>INDEX+MATCH,LOOKUP COLN MUST BE THE FIRST COLN.</t>
  </si>
  <si>
    <t>Name</t>
  </si>
  <si>
    <t>SEARCHES ACROSS ROWS.</t>
  </si>
  <si>
    <t>FIND:</t>
  </si>
  <si>
    <t>VLOOKUP(E2,A2:C6,3,FALSE)</t>
  </si>
  <si>
    <t>EmployeeID</t>
  </si>
  <si>
    <r>
      <t>FIND 103 SAL</t>
    </r>
    <r>
      <rPr>
        <b/>
        <sz val="11"/>
        <color rgb="FFFF0000"/>
        <rFont val="Calibri"/>
        <family val="2"/>
        <scheme val="minor"/>
      </rPr>
      <t>(MATCH)</t>
    </r>
  </si>
  <si>
    <t xml:space="preserve"> INDEX</t>
  </si>
  <si>
    <t>COMBINE(INDEX+MATCH)</t>
  </si>
  <si>
    <t>Jan</t>
  </si>
  <si>
    <t>Feb</t>
  </si>
  <si>
    <t>Mar</t>
  </si>
  <si>
    <t>Laptop</t>
  </si>
  <si>
    <t>Mouse</t>
  </si>
  <si>
    <t>Keyboard</t>
  </si>
  <si>
    <t>FIND: Price of Mouse in Feb</t>
  </si>
  <si>
    <t>find row position</t>
  </si>
  <si>
    <t>find coln position</t>
  </si>
  <si>
    <t>Dept</t>
  </si>
  <si>
    <t>HR</t>
  </si>
  <si>
    <t>IT</t>
  </si>
  <si>
    <t>🎯 Goal</t>
  </si>
  <si>
    <t>Find salary of:</t>
  </si>
  <si>
    <r>
      <t xml:space="preserve">👉 </t>
    </r>
    <r>
      <rPr>
        <b/>
        <sz val="11"/>
        <color theme="1"/>
        <rFont val="Calibri"/>
        <family val="2"/>
        <scheme val="minor"/>
      </rPr>
      <t>Ravi in IT department</t>
    </r>
  </si>
  <si>
    <t>INDEX+MATCH</t>
  </si>
  <si>
    <t>Product</t>
  </si>
  <si>
    <t>Month</t>
  </si>
  <si>
    <t>Sales</t>
  </si>
  <si>
    <t>Goal</t>
  </si>
  <si>
    <r>
      <t xml:space="preserve">Find </t>
    </r>
    <r>
      <rPr>
        <b/>
        <sz val="11"/>
        <color theme="1"/>
        <rFont val="Calibri"/>
        <family val="2"/>
        <scheme val="minor"/>
      </rPr>
      <t>Sales where Product = Mouse AND Month = Feb</t>
    </r>
  </si>
  <si>
    <t>FIND ROW</t>
  </si>
  <si>
    <t>FIND COLN</t>
  </si>
  <si>
    <t>ANS = 500</t>
  </si>
  <si>
    <t>INDEX(array , row_number , column_number)</t>
  </si>
  <si>
    <r>
      <rPr>
        <b/>
        <sz val="11"/>
        <color theme="1"/>
        <rFont val="Calibri"/>
        <family val="2"/>
        <scheme val="minor"/>
      </rPr>
      <t xml:space="preserve">WRONG: </t>
    </r>
    <r>
      <rPr>
        <sz val="11"/>
        <color theme="1"/>
        <rFont val="Calibri"/>
        <family val="2"/>
        <scheme val="minor"/>
      </rPr>
      <t>INDEX(C2:C5,MATCH("Mouse",A2:A5,0))</t>
    </r>
  </si>
  <si>
    <r>
      <rPr>
        <b/>
        <sz val="11"/>
        <color theme="1"/>
        <rFont val="Calibri"/>
        <family val="2"/>
        <scheme val="minor"/>
      </rPr>
      <t xml:space="preserve"> CRCT: </t>
    </r>
    <r>
      <rPr>
        <sz val="11"/>
        <color theme="1"/>
        <rFont val="Calibri"/>
        <family val="2"/>
        <scheme val="minor"/>
      </rPr>
      <t>INDEX(C2:C5,MATCH(1,(A2:A5="Mouse")*(B2:B5="Feb"),0))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</si>
</sst>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F3" sqref="F3"/>
    </sheetView>
  </sheetViews>
  <sheetFormatPr defaultRowHeight="14.4" x14ac:dyDescent="0.3"/>
  <cols>
    <col min="1" max="1" width="11.77734375" customWidth="1"/>
    <col min="2" max="5" width="10.44140625" customWidth="1"/>
  </cols>
  <sheetData>
    <row r="1" spans="1:6" x14ac:dyDescent="0.3">
      <c r="A1" s="1">
        <v>101</v>
      </c>
      <c r="B1" s="1" t="s">
        <v>2</v>
      </c>
      <c r="C1" s="1">
        <v>50000</v>
      </c>
      <c r="E1" s="1" t="s">
        <v>7</v>
      </c>
      <c r="F1" s="1" t="s">
        <v>1</v>
      </c>
    </row>
    <row r="2" spans="1:6" x14ac:dyDescent="0.3">
      <c r="A2" s="1">
        <v>102</v>
      </c>
      <c r="B2" s="1" t="s">
        <v>3</v>
      </c>
      <c r="C2" s="1">
        <v>45000</v>
      </c>
      <c r="E2" s="1">
        <v>103</v>
      </c>
      <c r="F2" s="1">
        <f>VLOOKUP(E2,A1:C5,3,FALSE)</f>
        <v>60000</v>
      </c>
    </row>
    <row r="3" spans="1:6" x14ac:dyDescent="0.3">
      <c r="A3" s="1">
        <v>103</v>
      </c>
      <c r="B3" s="1" t="s">
        <v>4</v>
      </c>
      <c r="C3" s="1">
        <v>60000</v>
      </c>
    </row>
    <row r="4" spans="1:6" x14ac:dyDescent="0.3">
      <c r="A4" s="1">
        <v>104</v>
      </c>
      <c r="B4" s="1" t="s">
        <v>5</v>
      </c>
      <c r="C4" s="1">
        <v>55000</v>
      </c>
    </row>
    <row r="5" spans="1:6" x14ac:dyDescent="0.3">
      <c r="A5" s="1">
        <v>105</v>
      </c>
      <c r="B5" s="1" t="s">
        <v>6</v>
      </c>
      <c r="C5" s="1">
        <v>48000</v>
      </c>
    </row>
    <row r="10" spans="1:6" x14ac:dyDescent="0.3">
      <c r="A10" t="s">
        <v>8</v>
      </c>
    </row>
    <row r="11" spans="1:6" x14ac:dyDescent="0.3">
      <c r="A11" t="s">
        <v>9</v>
      </c>
    </row>
    <row r="13" spans="1:6" x14ac:dyDescent="0.3">
      <c r="E1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D27" sqref="D27"/>
    </sheetView>
  </sheetViews>
  <sheetFormatPr defaultRowHeight="14.4" x14ac:dyDescent="0.3"/>
  <sheetData>
    <row r="1" spans="1:4" x14ac:dyDescent="0.3">
      <c r="A1" s="2">
        <v>101</v>
      </c>
      <c r="B1" s="2">
        <v>102</v>
      </c>
      <c r="C1" s="2">
        <v>103</v>
      </c>
      <c r="D1" s="2"/>
    </row>
    <row r="2" spans="1:4" x14ac:dyDescent="0.3">
      <c r="A2" s="2" t="s">
        <v>10</v>
      </c>
      <c r="B2" s="2" t="s">
        <v>2</v>
      </c>
      <c r="C2" s="2" t="s">
        <v>3</v>
      </c>
      <c r="D2" s="2" t="s">
        <v>4</v>
      </c>
    </row>
    <row r="3" spans="1:4" x14ac:dyDescent="0.3">
      <c r="A3" s="2" t="s">
        <v>1</v>
      </c>
      <c r="B3" s="2">
        <v>50000</v>
      </c>
      <c r="C3" s="2">
        <v>45000</v>
      </c>
      <c r="D3" s="2">
        <v>60000</v>
      </c>
    </row>
    <row r="5" spans="1:4" x14ac:dyDescent="0.3">
      <c r="A5" s="3" t="s">
        <v>12</v>
      </c>
      <c r="B5">
        <f>HLOOKUP(103,B1:D3,3,FALSE)</f>
        <v>45000</v>
      </c>
    </row>
    <row r="9" spans="1:4" x14ac:dyDescent="0.3">
      <c r="B9" t="s">
        <v>11</v>
      </c>
    </row>
    <row r="12" spans="1:4" x14ac:dyDescent="0.3">
      <c r="B12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2" sqref="E2"/>
    </sheetView>
  </sheetViews>
  <sheetFormatPr defaultRowHeight="14.4" x14ac:dyDescent="0.3"/>
  <cols>
    <col min="1" max="1" width="11.21875" customWidth="1"/>
    <col min="4" max="4" width="19.88671875" bestFit="1" customWidth="1"/>
    <col min="6" max="6" width="23.44140625" bestFit="1" customWidth="1"/>
  </cols>
  <sheetData>
    <row r="1" spans="1:6" x14ac:dyDescent="0.3">
      <c r="A1" s="4" t="s">
        <v>14</v>
      </c>
      <c r="B1" s="4" t="s">
        <v>10</v>
      </c>
      <c r="C1" s="4" t="s">
        <v>1</v>
      </c>
      <c r="D1" s="3" t="s">
        <v>15</v>
      </c>
      <c r="E1" s="5" t="s">
        <v>16</v>
      </c>
      <c r="F1" s="6" t="s">
        <v>17</v>
      </c>
    </row>
    <row r="2" spans="1:6" x14ac:dyDescent="0.3">
      <c r="A2" s="2">
        <v>101</v>
      </c>
      <c r="B2" s="2" t="s">
        <v>2</v>
      </c>
      <c r="C2" s="2">
        <v>50000</v>
      </c>
      <c r="D2">
        <f>MATCH(103,A2:A5,0)</f>
        <v>3</v>
      </c>
      <c r="E2">
        <f>INDEX(C2:C5,3)</f>
        <v>60000</v>
      </c>
      <c r="F2">
        <f>INDEX(C2:C5,MATCH(103,A2:A5,0))</f>
        <v>60000</v>
      </c>
    </row>
    <row r="3" spans="1:6" x14ac:dyDescent="0.3">
      <c r="A3" s="2">
        <v>102</v>
      </c>
      <c r="B3" s="2" t="s">
        <v>3</v>
      </c>
      <c r="C3" s="2">
        <v>45000</v>
      </c>
    </row>
    <row r="4" spans="1:6" x14ac:dyDescent="0.3">
      <c r="A4" s="2">
        <v>103</v>
      </c>
      <c r="B4" s="2" t="s">
        <v>4</v>
      </c>
      <c r="C4" s="2">
        <v>60000</v>
      </c>
    </row>
    <row r="5" spans="1:6" x14ac:dyDescent="0.3">
      <c r="A5" s="2">
        <v>104</v>
      </c>
      <c r="B5" s="2" t="s">
        <v>5</v>
      </c>
      <c r="C5" s="2">
        <v>55000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tabSelected="1" workbookViewId="0">
      <selection activeCell="G2" sqref="G2"/>
    </sheetView>
  </sheetViews>
  <sheetFormatPr defaultRowHeight="14.4" x14ac:dyDescent="0.3"/>
  <cols>
    <col min="1" max="1" width="12" customWidth="1"/>
  </cols>
  <sheetData>
    <row r="1" spans="1:6" x14ac:dyDescent="0.3">
      <c r="A1" s="2">
        <v>101</v>
      </c>
      <c r="B1" s="2" t="s">
        <v>2</v>
      </c>
      <c r="C1" s="2">
        <v>50000</v>
      </c>
      <c r="E1" s="2" t="s">
        <v>7</v>
      </c>
      <c r="F1" s="2" t="s">
        <v>1</v>
      </c>
    </row>
    <row r="2" spans="1:6" x14ac:dyDescent="0.3">
      <c r="A2" s="2">
        <v>102</v>
      </c>
      <c r="B2" s="2" t="s">
        <v>3</v>
      </c>
      <c r="C2" s="2">
        <v>45000</v>
      </c>
      <c r="E2" s="2">
        <v>103</v>
      </c>
      <c r="F2" s="2">
        <f>_xlfn.XLOOKUP(E2,A2:A6,C2:C6)</f>
        <v>60000</v>
      </c>
    </row>
    <row r="3" spans="1:6" x14ac:dyDescent="0.3">
      <c r="A3" s="2">
        <v>103</v>
      </c>
      <c r="B3" s="2" t="s">
        <v>4</v>
      </c>
      <c r="C3" s="2">
        <v>60000</v>
      </c>
    </row>
    <row r="4" spans="1:6" x14ac:dyDescent="0.3">
      <c r="A4" s="2">
        <v>104</v>
      </c>
      <c r="B4" s="2" t="s">
        <v>5</v>
      </c>
      <c r="C4" s="2">
        <v>55000</v>
      </c>
    </row>
    <row r="5" spans="1:6" x14ac:dyDescent="0.3">
      <c r="A5" s="2">
        <v>105</v>
      </c>
      <c r="B5" s="2" t="s">
        <v>6</v>
      </c>
      <c r="C5" s="2">
        <v>48000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activeCell="G2" sqref="G2"/>
    </sheetView>
  </sheetViews>
  <sheetFormatPr defaultRowHeight="14.4" x14ac:dyDescent="0.3"/>
  <cols>
    <col min="5" max="5" width="15.33203125" bestFit="1" customWidth="1"/>
    <col min="6" max="6" width="15.6640625" bestFit="1" customWidth="1"/>
    <col min="7" max="7" width="13.6640625" bestFit="1" customWidth="1"/>
  </cols>
  <sheetData>
    <row r="1" spans="1:7" x14ac:dyDescent="0.3">
      <c r="A1" s="2" t="s">
        <v>18</v>
      </c>
      <c r="B1" s="2" t="s">
        <v>19</v>
      </c>
      <c r="C1" s="2" t="s">
        <v>20</v>
      </c>
      <c r="D1" s="2"/>
      <c r="E1" s="6" t="s">
        <v>25</v>
      </c>
      <c r="F1" s="6" t="s">
        <v>26</v>
      </c>
      <c r="G1" s="3" t="s">
        <v>33</v>
      </c>
    </row>
    <row r="2" spans="1:7" x14ac:dyDescent="0.3">
      <c r="A2" s="2" t="s">
        <v>21</v>
      </c>
      <c r="B2" s="2">
        <v>20000</v>
      </c>
      <c r="C2" s="2">
        <v>22000</v>
      </c>
      <c r="D2" s="2">
        <v>25000</v>
      </c>
      <c r="E2">
        <f>MATCH("Mouse",A2:A4,0)</f>
        <v>2</v>
      </c>
      <c r="F2">
        <f t="array" ref="F2">MATCH("Feb",B1:D1,0)</f>
        <v>1</v>
      </c>
      <c r="G2">
        <f t="array" ref="G2">INDEX(B2:D4,MATCH("Mouse",A2:A4,0),MATCH("Feb",B1:D1,0))</f>
        <v>500</v>
      </c>
    </row>
    <row r="3" spans="1:7" x14ac:dyDescent="0.3">
      <c r="A3" s="2" t="s">
        <v>22</v>
      </c>
      <c r="B3" s="2">
        <v>500</v>
      </c>
      <c r="C3" s="2">
        <v>600</v>
      </c>
      <c r="D3" s="2">
        <v>550</v>
      </c>
    </row>
    <row r="4" spans="1:7" x14ac:dyDescent="0.3">
      <c r="A4" s="2" t="s">
        <v>23</v>
      </c>
      <c r="B4" s="2">
        <v>1500</v>
      </c>
      <c r="C4" s="2">
        <v>1600</v>
      </c>
      <c r="D4" s="2">
        <v>1700</v>
      </c>
    </row>
    <row r="15" spans="1:7" x14ac:dyDescent="0.3">
      <c r="A15" s="3" t="s">
        <v>24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activeCell="G10" sqref="G10"/>
    </sheetView>
  </sheetViews>
  <sheetFormatPr defaultRowHeight="14.4" x14ac:dyDescent="0.3"/>
  <sheetData>
    <row r="1" spans="1:4" x14ac:dyDescent="0.3">
      <c r="A1" s="5" t="s">
        <v>10</v>
      </c>
      <c r="B1" s="5" t="s">
        <v>27</v>
      </c>
      <c r="C1" s="5" t="s">
        <v>1</v>
      </c>
    </row>
    <row r="2" spans="1:4" x14ac:dyDescent="0.3">
      <c r="A2" s="2" t="s">
        <v>2</v>
      </c>
      <c r="B2" s="2" t="s">
        <v>28</v>
      </c>
      <c r="C2" s="2">
        <v>40000</v>
      </c>
      <c r="D2">
        <f t="array" ref="D2">INDEX(C2:C5,MATCH(1,(A2:A5="Ravi")*(B2:B5="IT"),0))</f>
        <v>60000</v>
      </c>
    </row>
    <row r="3" spans="1:4" x14ac:dyDescent="0.3">
      <c r="A3" s="2" t="s">
        <v>2</v>
      </c>
      <c r="B3" s="2" t="s">
        <v>29</v>
      </c>
      <c r="C3" s="2">
        <v>60000</v>
      </c>
    </row>
    <row r="4" spans="1:4" x14ac:dyDescent="0.3">
      <c r="A4" s="2" t="s">
        <v>3</v>
      </c>
      <c r="B4" s="2" t="s">
        <v>28</v>
      </c>
      <c r="C4" s="2">
        <v>45000</v>
      </c>
    </row>
    <row r="5" spans="1:4" x14ac:dyDescent="0.3">
      <c r="A5" s="2" t="s">
        <v>3</v>
      </c>
      <c r="B5" s="2" t="s">
        <v>29</v>
      </c>
      <c r="C5" s="2">
        <v>70000</v>
      </c>
    </row>
    <row r="17" spans="1:1" ht="31.2" x14ac:dyDescent="0.6">
      <c r="A17" s="7" t="s">
        <v>30</v>
      </c>
    </row>
    <row r="19" spans="1:1" x14ac:dyDescent="0.3">
      <c r="A19" t="s">
        <v>31</v>
      </c>
    </row>
    <row r="21" spans="1:1" x14ac:dyDescent="0.3">
      <c r="A2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topLeftCell="A2" workbookViewId="0">
      <selection activeCell="F2" sqref="F2"/>
    </sheetView>
  </sheetViews>
  <sheetFormatPr defaultRowHeight="14.4" x14ac:dyDescent="0.3"/>
  <cols>
    <col min="4" max="4" width="9.6640625" bestFit="1" customWidth="1"/>
    <col min="5" max="5" width="10.109375" bestFit="1" customWidth="1"/>
  </cols>
  <sheetData>
    <row r="1" spans="1:6" x14ac:dyDescent="0.3">
      <c r="A1" s="4" t="s">
        <v>34</v>
      </c>
      <c r="B1" s="4" t="s">
        <v>35</v>
      </c>
      <c r="C1" s="4" t="s">
        <v>36</v>
      </c>
      <c r="D1" s="3" t="s">
        <v>39</v>
      </c>
      <c r="E1" s="3" t="s">
        <v>40</v>
      </c>
    </row>
    <row r="2" spans="1:6" x14ac:dyDescent="0.3">
      <c r="A2" s="2" t="s">
        <v>21</v>
      </c>
      <c r="B2" s="2" t="s">
        <v>18</v>
      </c>
      <c r="C2" s="2">
        <v>20000</v>
      </c>
      <c r="D2">
        <f>MATCH("Mouse",A2:A5,0)</f>
        <v>2</v>
      </c>
      <c r="E2">
        <f>MATCH("Feb",B2:B5,0)</f>
        <v>2</v>
      </c>
      <c r="F2" t="e">
        <f>INDEX(C2:C5,MATCH(1,(A2:A5="Mouse")*(B2:B5="Feb"),0))</f>
        <v>#N/A</v>
      </c>
    </row>
    <row r="3" spans="1:6" x14ac:dyDescent="0.3">
      <c r="A3" s="2" t="s">
        <v>22</v>
      </c>
      <c r="B3" s="2" t="s">
        <v>19</v>
      </c>
      <c r="C3" s="2">
        <v>500</v>
      </c>
    </row>
    <row r="4" spans="1:6" x14ac:dyDescent="0.3">
      <c r="A4" s="2" t="s">
        <v>22</v>
      </c>
      <c r="B4" s="2" t="s">
        <v>20</v>
      </c>
      <c r="C4" s="2">
        <v>600</v>
      </c>
    </row>
    <row r="5" spans="1:6" x14ac:dyDescent="0.3">
      <c r="A5" s="2" t="s">
        <v>23</v>
      </c>
      <c r="B5" s="2" t="s">
        <v>19</v>
      </c>
      <c r="C5" s="2">
        <v>1600</v>
      </c>
    </row>
    <row r="10" spans="1:6" x14ac:dyDescent="0.3">
      <c r="C10" t="s">
        <v>44</v>
      </c>
    </row>
    <row r="13" spans="1:6" x14ac:dyDescent="0.3">
      <c r="A13" t="s">
        <v>42</v>
      </c>
    </row>
    <row r="15" spans="1:6" x14ac:dyDescent="0.3">
      <c r="E15" t="s">
        <v>43</v>
      </c>
    </row>
    <row r="16" spans="1:6" ht="18" x14ac:dyDescent="0.35">
      <c r="A16" s="8" t="s">
        <v>37</v>
      </c>
    </row>
    <row r="18" spans="1:2" x14ac:dyDescent="0.3">
      <c r="A18" t="s">
        <v>38</v>
      </c>
    </row>
    <row r="20" spans="1:2" x14ac:dyDescent="0.3">
      <c r="B20" s="3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HLOOKUP</vt:lpstr>
      <vt:lpstr>INDEX+MATCH</vt:lpstr>
      <vt:lpstr>XLOOKUP</vt:lpstr>
      <vt:lpstr>TWO WAY LOOKUP</vt:lpstr>
      <vt:lpstr>MULTIPLE CRITERIA LOOKUP</vt:lpstr>
      <vt:lpstr>index+match(multiplecritlookup)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2026-03-05T17:08:49Z</dcterms:created>
  <dcterms:modified xsi:type="dcterms:W3CDTF">2026-03-07T12:27:52Z</dcterms:modified>
</cp:coreProperties>
</file>